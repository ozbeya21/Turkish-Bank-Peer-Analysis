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et Özbey\Desktop\Prometia Teknik Vaka\"/>
    </mc:Choice>
  </mc:AlternateContent>
  <xr:revisionPtr revIDLastSave="0" documentId="13_ncr:1_{B65BC3A9-2A9F-4D9E-9C57-A767E40D60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Y2024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" i="1" l="1"/>
  <c r="B29" i="1"/>
  <c r="C6" i="1"/>
</calcChain>
</file>

<file path=xl/sharedStrings.xml><?xml version="1.0" encoding="utf-8"?>
<sst xmlns="http://schemas.openxmlformats.org/spreadsheetml/2006/main" count="162" uniqueCount="67">
  <si>
    <t>Akbank FY2024 — Case Metrics (TBB baseline + Akbank consolidated disclosures)</t>
  </si>
  <si>
    <t>Dimension</t>
  </si>
  <si>
    <t>Metric</t>
  </si>
  <si>
    <t>FY2024 Value</t>
  </si>
  <si>
    <t>Unit</t>
  </si>
  <si>
    <t>Source</t>
  </si>
  <si>
    <t>Basis</t>
  </si>
  <si>
    <t>Page/Section (if disclosure)</t>
  </si>
  <si>
    <t>Notes</t>
  </si>
  <si>
    <t>1) Balance Sheet &amp; Growth</t>
  </si>
  <si>
    <t>Total Assets</t>
  </si>
  <si>
    <t>mn TL</t>
  </si>
  <si>
    <t>TBB</t>
  </si>
  <si>
    <t>Unconsolidated (peer baseline)</t>
  </si>
  <si>
    <t>akbank-t.a.s (1).xlsx</t>
  </si>
  <si>
    <t>Year-end</t>
  </si>
  <si>
    <t>Total Loans</t>
  </si>
  <si>
    <t>Total Deposits</t>
  </si>
  <si>
    <t>Loan Growth (YoY)</t>
  </si>
  <si>
    <t>%</t>
  </si>
  <si>
    <t>TBB (calc.)</t>
  </si>
  <si>
    <t>YoY growth calculated from TBB loans (FY2024 vs FY2023)</t>
  </si>
  <si>
    <t>2) Profitability</t>
  </si>
  <si>
    <t>Net Profit</t>
  </si>
  <si>
    <t>FY2024</t>
  </si>
  <si>
    <t>ROE (avg)</t>
  </si>
  <si>
    <t>Average return on equity</t>
  </si>
  <si>
    <t>ROA (avg)</t>
  </si>
  <si>
    <t>Average return on assets</t>
  </si>
  <si>
    <t>Swap-adjusted NIM</t>
  </si>
  <si>
    <t>Akbank disclosure</t>
  </si>
  <si>
    <t>Consolidated</t>
  </si>
  <si>
    <t>Investor presentation – Snapshot of Results</t>
  </si>
  <si>
    <t>Consolidated KPI (2024 column)</t>
  </si>
  <si>
    <t>3) Liquidity</t>
  </si>
  <si>
    <t>LDR (Loans/Deposits)</t>
  </si>
  <si>
    <t>Liquid Assets / Total Assets</t>
  </si>
  <si>
    <t>4) Interest Rate Risk</t>
  </si>
  <si>
    <t>Banking book IR sensitivity (total, equity impact)</t>
  </si>
  <si>
    <t>+6.92% / -7.18%</t>
  </si>
  <si>
    <t>Notes to consolidated FS (31 Dec 2024) – IRRBB table</t>
  </si>
  <si>
    <t>Total (negative shocks) vs Total (positive shocks)</t>
  </si>
  <si>
    <t>5) Capital Adequacy</t>
  </si>
  <si>
    <t>CAR (Capital Adequacy Ratio)</t>
  </si>
  <si>
    <t>Peer-consistent capital metric</t>
  </si>
  <si>
    <t>CET1 ratio (bank-only, Snapshot of Results)</t>
  </si>
  <si>
    <t>Akbank IR deck – Snapshot of Results (2024)</t>
  </si>
  <si>
    <t>Bank-only basis per deck footnote; use consistently or flag basis difference.</t>
  </si>
  <si>
    <t>6) Balance Sheet Composition</t>
  </si>
  <si>
    <t>Loans / Total Assets</t>
  </si>
  <si>
    <t>Financial Assets (net) / Total Assets</t>
  </si>
  <si>
    <t>TL Assets Share</t>
  </si>
  <si>
    <t>TL-denominated assets / total assets</t>
  </si>
  <si>
    <t>TL Deposits Share</t>
  </si>
  <si>
    <t>TL deposits / total deposits</t>
  </si>
  <si>
    <t>7) Credit Portfolio Quality</t>
  </si>
  <si>
    <t>NPL Ratio</t>
  </si>
  <si>
    <t>Stage 3 Coverage</t>
  </si>
  <si>
    <t>Net loan cost (excl. FX)</t>
  </si>
  <si>
    <t>bps</t>
  </si>
  <si>
    <t>Net CoC excl. currency = 1.28% (=128 bps)</t>
  </si>
  <si>
    <t>Calculations</t>
  </si>
  <si>
    <t>Item</t>
  </si>
  <si>
    <t>FY2023</t>
  </si>
  <si>
    <t>Formula / note</t>
  </si>
  <si>
    <t>From TBB aktif-pasif</t>
  </si>
  <si>
    <t>YoY = (2024-2023)/2023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</si>
</sst>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0549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center" vertical="top" wrapText="1"/>
    </xf>
    <xf numFmtId="165" fontId="0" fillId="0" borderId="1" xfId="0" applyNumberForma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165" fontId="3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topLeftCell="A9" workbookViewId="0">
      <selection activeCell="A16" sqref="A16:H16"/>
    </sheetView>
  </sheetViews>
  <sheetFormatPr defaultRowHeight="14.4" x14ac:dyDescent="0.3"/>
  <cols>
    <col min="1" max="1" width="26" customWidth="1"/>
    <col min="2" max="2" width="34" customWidth="1"/>
    <col min="3" max="3" width="16" customWidth="1"/>
    <col min="4" max="4" width="10" customWidth="1"/>
    <col min="5" max="5" width="18" customWidth="1"/>
    <col min="6" max="6" width="16" customWidth="1"/>
    <col min="7" max="7" width="26" customWidth="1"/>
    <col min="8" max="8" width="42" customWidth="1"/>
  </cols>
  <sheetData>
    <row r="1" spans="1:8" ht="28.0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</row>
    <row r="2" spans="1:8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8.8" x14ac:dyDescent="0.3">
      <c r="A3" s="2" t="s">
        <v>9</v>
      </c>
      <c r="B3" s="2" t="s">
        <v>10</v>
      </c>
      <c r="C3" s="6">
        <v>2515596.6540000001</v>
      </c>
      <c r="D3" s="3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28.8" x14ac:dyDescent="0.3">
      <c r="A4" s="2" t="s">
        <v>9</v>
      </c>
      <c r="B4" s="2" t="s">
        <v>16</v>
      </c>
      <c r="C4" s="6">
        <v>1286770.8570000001</v>
      </c>
      <c r="D4" s="3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  <row r="5" spans="1:8" ht="28.8" x14ac:dyDescent="0.3">
      <c r="A5" s="2" t="s">
        <v>9</v>
      </c>
      <c r="B5" s="2" t="s">
        <v>17</v>
      </c>
      <c r="C5" s="6">
        <v>1562097.372</v>
      </c>
      <c r="D5" s="3" t="s">
        <v>11</v>
      </c>
      <c r="E5" s="2" t="s">
        <v>12</v>
      </c>
      <c r="F5" s="2" t="s">
        <v>13</v>
      </c>
      <c r="G5" s="2" t="s">
        <v>14</v>
      </c>
      <c r="H5" s="2" t="s">
        <v>15</v>
      </c>
    </row>
    <row r="6" spans="1:8" ht="28.8" x14ac:dyDescent="0.3">
      <c r="A6" s="2" t="s">
        <v>9</v>
      </c>
      <c r="B6" s="2" t="s">
        <v>18</v>
      </c>
      <c r="C6" s="7">
        <f>C27</f>
        <v>2515596.6540000001</v>
      </c>
      <c r="D6" s="3" t="s">
        <v>19</v>
      </c>
      <c r="E6" s="2" t="s">
        <v>20</v>
      </c>
      <c r="F6" s="2" t="s">
        <v>13</v>
      </c>
      <c r="G6" s="2" t="s">
        <v>14</v>
      </c>
      <c r="H6" s="2" t="s">
        <v>21</v>
      </c>
    </row>
    <row r="7" spans="1:8" ht="28.8" x14ac:dyDescent="0.3">
      <c r="A7" s="2" t="s">
        <v>22</v>
      </c>
      <c r="B7" s="2" t="s">
        <v>23</v>
      </c>
      <c r="C7" s="6">
        <v>42366.07</v>
      </c>
      <c r="D7" s="3" t="s">
        <v>11</v>
      </c>
      <c r="E7" s="2" t="s">
        <v>12</v>
      </c>
      <c r="F7" s="2" t="s">
        <v>13</v>
      </c>
      <c r="G7" s="2" t="s">
        <v>14</v>
      </c>
      <c r="H7" s="2" t="s">
        <v>24</v>
      </c>
    </row>
    <row r="8" spans="1:8" ht="28.8" x14ac:dyDescent="0.3">
      <c r="A8" s="2" t="s">
        <v>22</v>
      </c>
      <c r="B8" s="2" t="s">
        <v>25</v>
      </c>
      <c r="C8" s="7">
        <v>0.1871526262452258</v>
      </c>
      <c r="D8" s="3" t="s">
        <v>19</v>
      </c>
      <c r="E8" s="2" t="s">
        <v>12</v>
      </c>
      <c r="F8" s="2" t="s">
        <v>13</v>
      </c>
      <c r="G8" s="2" t="s">
        <v>14</v>
      </c>
      <c r="H8" s="2" t="s">
        <v>26</v>
      </c>
    </row>
    <row r="9" spans="1:8" ht="28.8" x14ac:dyDescent="0.3">
      <c r="A9" s="2" t="s">
        <v>22</v>
      </c>
      <c r="B9" s="2" t="s">
        <v>27</v>
      </c>
      <c r="C9" s="7">
        <v>1.8968819720985599E-2</v>
      </c>
      <c r="D9" s="3" t="s">
        <v>19</v>
      </c>
      <c r="E9" s="2" t="s">
        <v>12</v>
      </c>
      <c r="F9" s="2" t="s">
        <v>13</v>
      </c>
      <c r="G9" s="2" t="s">
        <v>14</v>
      </c>
      <c r="H9" s="2" t="s">
        <v>28</v>
      </c>
    </row>
    <row r="10" spans="1:8" ht="28.8" x14ac:dyDescent="0.3">
      <c r="A10" s="2" t="s">
        <v>22</v>
      </c>
      <c r="B10" s="2" t="s">
        <v>29</v>
      </c>
      <c r="C10" s="7">
        <v>2.1999999999999999E-2</v>
      </c>
      <c r="D10" s="3" t="s">
        <v>19</v>
      </c>
      <c r="E10" s="2" t="s">
        <v>30</v>
      </c>
      <c r="F10" s="2" t="s">
        <v>31</v>
      </c>
      <c r="G10" s="2" t="s">
        <v>32</v>
      </c>
      <c r="H10" s="2" t="s">
        <v>33</v>
      </c>
    </row>
    <row r="11" spans="1:8" ht="28.8" x14ac:dyDescent="0.3">
      <c r="A11" s="2" t="s">
        <v>34</v>
      </c>
      <c r="B11" s="2" t="s">
        <v>35</v>
      </c>
      <c r="C11" s="7">
        <v>0.82374561283110603</v>
      </c>
      <c r="D11" s="3" t="s">
        <v>19</v>
      </c>
      <c r="E11" s="2" t="s">
        <v>12</v>
      </c>
      <c r="F11" s="2" t="s">
        <v>13</v>
      </c>
      <c r="G11" s="2" t="s">
        <v>14</v>
      </c>
      <c r="H11" s="2"/>
    </row>
    <row r="12" spans="1:8" ht="28.8" x14ac:dyDescent="0.3">
      <c r="A12" s="2" t="s">
        <v>34</v>
      </c>
      <c r="B12" s="2" t="s">
        <v>36</v>
      </c>
      <c r="C12" s="7">
        <v>0.19562765883691621</v>
      </c>
      <c r="D12" s="3" t="s">
        <v>19</v>
      </c>
      <c r="E12" s="2" t="s">
        <v>12</v>
      </c>
      <c r="F12" s="2" t="s">
        <v>13</v>
      </c>
      <c r="G12" s="2" t="s">
        <v>14</v>
      </c>
      <c r="H12" s="2"/>
    </row>
    <row r="13" spans="1:8" ht="28.8" x14ac:dyDescent="0.3">
      <c r="A13" s="2" t="s">
        <v>37</v>
      </c>
      <c r="B13" s="2" t="s">
        <v>38</v>
      </c>
      <c r="C13" s="3" t="s">
        <v>39</v>
      </c>
      <c r="D13" s="3" t="s">
        <v>19</v>
      </c>
      <c r="E13" s="2" t="s">
        <v>30</v>
      </c>
      <c r="F13" s="2" t="s">
        <v>31</v>
      </c>
      <c r="G13" s="2" t="s">
        <v>40</v>
      </c>
      <c r="H13" s="2" t="s">
        <v>41</v>
      </c>
    </row>
    <row r="14" spans="1:8" ht="28.8" x14ac:dyDescent="0.3">
      <c r="A14" s="2" t="s">
        <v>42</v>
      </c>
      <c r="B14" s="2" t="s">
        <v>43</v>
      </c>
      <c r="C14" s="7">
        <v>0.21139062</v>
      </c>
      <c r="D14" s="3" t="s">
        <v>19</v>
      </c>
      <c r="E14" s="2" t="s">
        <v>12</v>
      </c>
      <c r="F14" s="2" t="s">
        <v>13</v>
      </c>
      <c r="G14" s="2" t="s">
        <v>14</v>
      </c>
      <c r="H14" s="2" t="s">
        <v>44</v>
      </c>
    </row>
    <row r="15" spans="1:8" ht="86.4" x14ac:dyDescent="0.3">
      <c r="A15" s="11" t="s">
        <v>42</v>
      </c>
      <c r="B15" s="11" t="s">
        <v>45</v>
      </c>
      <c r="C15" s="12">
        <v>15.1</v>
      </c>
      <c r="D15" s="11" t="s">
        <v>19</v>
      </c>
      <c r="E15" s="11" t="s">
        <v>46</v>
      </c>
      <c r="F15" s="11" t="s">
        <v>47</v>
      </c>
    </row>
    <row r="16" spans="1:8" ht="28.8" x14ac:dyDescent="0.3">
      <c r="A16" s="2" t="s">
        <v>48</v>
      </c>
      <c r="B16" s="2" t="s">
        <v>49</v>
      </c>
      <c r="C16" s="7">
        <v>0.51151716033408268</v>
      </c>
      <c r="D16" s="3" t="s">
        <v>19</v>
      </c>
      <c r="E16" s="2" t="s">
        <v>12</v>
      </c>
      <c r="F16" s="2" t="s">
        <v>13</v>
      </c>
      <c r="G16" s="2" t="s">
        <v>14</v>
      </c>
      <c r="H16" s="2"/>
    </row>
    <row r="17" spans="1:8" ht="28.8" x14ac:dyDescent="0.3">
      <c r="A17" s="2" t="s">
        <v>48</v>
      </c>
      <c r="B17" s="2" t="s">
        <v>50</v>
      </c>
      <c r="C17" s="7">
        <v>0.36633869842951378</v>
      </c>
      <c r="D17" s="3" t="s">
        <v>19</v>
      </c>
      <c r="E17" s="2" t="s">
        <v>12</v>
      </c>
      <c r="F17" s="2" t="s">
        <v>13</v>
      </c>
      <c r="G17" s="2" t="s">
        <v>14</v>
      </c>
      <c r="H17" s="2"/>
    </row>
    <row r="18" spans="1:8" ht="28.8" x14ac:dyDescent="0.3">
      <c r="A18" s="2" t="s">
        <v>48</v>
      </c>
      <c r="B18" s="2" t="s">
        <v>51</v>
      </c>
      <c r="C18" s="7">
        <v>0.69413069906237845</v>
      </c>
      <c r="D18" s="3" t="s">
        <v>19</v>
      </c>
      <c r="E18" s="2" t="s">
        <v>12</v>
      </c>
      <c r="F18" s="2" t="s">
        <v>13</v>
      </c>
      <c r="G18" s="2" t="s">
        <v>14</v>
      </c>
      <c r="H18" s="2" t="s">
        <v>52</v>
      </c>
    </row>
    <row r="19" spans="1:8" ht="28.8" x14ac:dyDescent="0.3">
      <c r="A19" s="2" t="s">
        <v>48</v>
      </c>
      <c r="B19" s="2" t="s">
        <v>53</v>
      </c>
      <c r="C19" s="7">
        <v>0.69573227346803324</v>
      </c>
      <c r="D19" s="3" t="s">
        <v>19</v>
      </c>
      <c r="E19" s="2" t="s">
        <v>12</v>
      </c>
      <c r="F19" s="2" t="s">
        <v>13</v>
      </c>
      <c r="G19" s="2" t="s">
        <v>14</v>
      </c>
      <c r="H19" s="2" t="s">
        <v>54</v>
      </c>
    </row>
    <row r="20" spans="1:8" ht="28.8" x14ac:dyDescent="0.3">
      <c r="A20" s="2" t="s">
        <v>55</v>
      </c>
      <c r="B20" s="2" t="s">
        <v>56</v>
      </c>
      <c r="C20" s="7">
        <v>2.7E-2</v>
      </c>
      <c r="D20" s="3" t="s">
        <v>19</v>
      </c>
      <c r="E20" s="2" t="s">
        <v>30</v>
      </c>
      <c r="F20" s="2" t="s">
        <v>31</v>
      </c>
      <c r="G20" s="2" t="s">
        <v>32</v>
      </c>
      <c r="H20" s="2" t="s">
        <v>33</v>
      </c>
    </row>
    <row r="21" spans="1:8" ht="28.8" x14ac:dyDescent="0.3">
      <c r="A21" s="2" t="s">
        <v>55</v>
      </c>
      <c r="B21" s="2" t="s">
        <v>57</v>
      </c>
      <c r="C21" s="7">
        <v>0.58799999999999997</v>
      </c>
      <c r="D21" s="3" t="s">
        <v>19</v>
      </c>
      <c r="E21" s="2" t="s">
        <v>30</v>
      </c>
      <c r="F21" s="2" t="s">
        <v>31</v>
      </c>
      <c r="G21" s="2" t="s">
        <v>32</v>
      </c>
      <c r="H21" s="2" t="s">
        <v>33</v>
      </c>
    </row>
    <row r="22" spans="1:8" ht="19.95" customHeight="1" x14ac:dyDescent="0.3">
      <c r="A22" s="13" t="s">
        <v>55</v>
      </c>
      <c r="B22" s="13" t="s">
        <v>58</v>
      </c>
      <c r="C22" s="14">
        <v>128</v>
      </c>
      <c r="D22" s="15" t="s">
        <v>59</v>
      </c>
      <c r="E22" s="13" t="s">
        <v>30</v>
      </c>
      <c r="F22" s="13" t="s">
        <v>31</v>
      </c>
      <c r="G22" s="13" t="s">
        <v>32</v>
      </c>
      <c r="H22" s="13" t="s">
        <v>60</v>
      </c>
    </row>
    <row r="23" spans="1:8" ht="18" customHeight="1" x14ac:dyDescent="0.3"/>
    <row r="24" spans="1:8" x14ac:dyDescent="0.3">
      <c r="A24" s="4" t="s">
        <v>61</v>
      </c>
      <c r="B24" s="8"/>
      <c r="C24" s="8"/>
      <c r="D24" s="8"/>
      <c r="E24" s="8"/>
      <c r="F24" s="8"/>
      <c r="G24" s="8"/>
      <c r="H24" s="9"/>
    </row>
    <row r="25" spans="1:8" x14ac:dyDescent="0.3">
      <c r="A25" s="5" t="s">
        <v>62</v>
      </c>
      <c r="B25" s="1" t="s">
        <v>63</v>
      </c>
      <c r="C25" s="1" t="s">
        <v>24</v>
      </c>
      <c r="D25" s="1" t="s">
        <v>4</v>
      </c>
      <c r="E25" s="5" t="s">
        <v>64</v>
      </c>
    </row>
    <row r="26" spans="1:8" x14ac:dyDescent="0.3">
      <c r="A26" s="2" t="s">
        <v>16</v>
      </c>
      <c r="B26" s="6">
        <v>870105.63699999999</v>
      </c>
      <c r="C26" s="6">
        <v>1286770.8570000001</v>
      </c>
      <c r="D26" s="3" t="s">
        <v>11</v>
      </c>
      <c r="E26" s="2" t="s">
        <v>65</v>
      </c>
    </row>
    <row r="27" spans="1:8" x14ac:dyDescent="0.3">
      <c r="A27" s="2" t="s">
        <v>10</v>
      </c>
      <c r="B27" s="6">
        <v>1789174.1740000001</v>
      </c>
      <c r="C27" s="6">
        <v>2515596.6540000001</v>
      </c>
      <c r="D27" s="3" t="s">
        <v>11</v>
      </c>
      <c r="E27" s="2" t="s">
        <v>65</v>
      </c>
    </row>
    <row r="28" spans="1:8" x14ac:dyDescent="0.3">
      <c r="A28" s="2" t="s">
        <v>17</v>
      </c>
      <c r="B28" s="6">
        <v>1218108.3259999999</v>
      </c>
      <c r="C28" s="6">
        <v>1562097.372</v>
      </c>
      <c r="D28" s="3" t="s">
        <v>11</v>
      </c>
      <c r="E28" s="2" t="s">
        <v>65</v>
      </c>
    </row>
    <row r="29" spans="1:8" ht="28.8" x14ac:dyDescent="0.3">
      <c r="A29" s="2" t="s">
        <v>18</v>
      </c>
      <c r="B29" s="6">
        <f>B24</f>
        <v>0</v>
      </c>
      <c r="C29" s="10" t="e">
        <f>(C24-B24)/B24</f>
        <v>#DIV/0!</v>
      </c>
      <c r="D29" s="3" t="s">
        <v>19</v>
      </c>
      <c r="E29" s="2" t="s">
        <v>66</v>
      </c>
    </row>
  </sheetData>
  <mergeCells count="2">
    <mergeCell ref="A22:H2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FY2024_Final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Özbey</cp:lastModifiedBy>
  <dcterms:created xsi:type="dcterms:W3CDTF">2026-03-03T13:59:31Z</dcterms:created>
  <dcterms:modified xsi:type="dcterms:W3CDTF">2026-03-03T14:05:52Z</dcterms:modified>
</cp:coreProperties>
</file>