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et Özbey\Desktop\Prometia Teknik Vaka\"/>
    </mc:Choice>
  </mc:AlternateContent>
  <xr:revisionPtr revIDLastSave="0" documentId="13_ncr:1_{A2DF77B1-4D59-4D61-8971-E65FE178F4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Y2023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1" l="1"/>
  <c r="B30" i="1"/>
  <c r="C6" i="1"/>
</calcChain>
</file>

<file path=xl/sharedStrings.xml><?xml version="1.0" encoding="utf-8"?>
<sst xmlns="http://schemas.openxmlformats.org/spreadsheetml/2006/main" count="168" uniqueCount="73">
  <si>
    <t>Akbank FY2023 — Case Metrics (TBB baseline + Akbank disclosures)</t>
  </si>
  <si>
    <t>Dimension</t>
  </si>
  <si>
    <t>Metric</t>
  </si>
  <si>
    <t>FY2023 Value</t>
  </si>
  <si>
    <t>Unit</t>
  </si>
  <si>
    <t>Source</t>
  </si>
  <si>
    <t>Basis</t>
  </si>
  <si>
    <t>Page/Section (if disclosure)</t>
  </si>
  <si>
    <t>Notes</t>
  </si>
  <si>
    <t>1) Balance Sheet &amp; Growth</t>
  </si>
  <si>
    <t>Total Assets</t>
  </si>
  <si>
    <t>mn TL</t>
  </si>
  <si>
    <t>TBB</t>
  </si>
  <si>
    <t>Unconsolidated</t>
  </si>
  <si>
    <t>-</t>
  </si>
  <si>
    <t>Year-end</t>
  </si>
  <si>
    <t>Total Loans</t>
  </si>
  <si>
    <t>Total Deposits</t>
  </si>
  <si>
    <t>Loan Growth (YoY)</t>
  </si>
  <si>
    <t>%</t>
  </si>
  <si>
    <t>TBB (calc.)</t>
  </si>
  <si>
    <t>(2023 loans vs 2022 loans)</t>
  </si>
  <si>
    <t>2) Profitability</t>
  </si>
  <si>
    <t>Net Profit</t>
  </si>
  <si>
    <t>FY2023</t>
  </si>
  <si>
    <t>ROE (avg)</t>
  </si>
  <si>
    <t>Average return on equity</t>
  </si>
  <si>
    <t>ROA (avg)</t>
  </si>
  <si>
    <t>Average return on assets</t>
  </si>
  <si>
    <t>Swap-adjusted NIM</t>
  </si>
  <si>
    <t>Akbank disclosure</t>
  </si>
  <si>
    <t>Consolidated</t>
  </si>
  <si>
    <t>KPI table (Summary/Snapshot)</t>
  </si>
  <si>
    <t>From FY2023 disclosure</t>
  </si>
  <si>
    <t>3) Liquidity</t>
  </si>
  <si>
    <t>LDR (Loans/Deposits)</t>
  </si>
  <si>
    <t>Liquid Assets / Total Assets</t>
  </si>
  <si>
    <t>4) Interest Rate Risk</t>
  </si>
  <si>
    <t>Banking book IR sensitivity (total, equity impact)</t>
  </si>
  <si>
    <t>+2.41% / -2.59%</t>
  </si>
  <si>
    <t>Unclear (check note)</t>
  </si>
  <si>
    <t>Interest rate risk related to banking book</t>
  </si>
  <si>
    <t>Use +2.41% (neg shocks) / -2.59% (pos shocks)</t>
  </si>
  <si>
    <t>5) Capital Adequacy</t>
  </si>
  <si>
    <t>CAR (Capital Adequacy Ratio)</t>
  </si>
  <si>
    <t>Peer-consistent capital metric</t>
  </si>
  <si>
    <t>CET1 ratio (Core capital adequacy)</t>
  </si>
  <si>
    <t>Akbank 2023 notes (capital adequacy ratios table)</t>
  </si>
  <si>
    <t>Regulatory ratio (notes). Matches TBB CAR basis better than management snapshot.</t>
  </si>
  <si>
    <t>6) Balance Sheet Composition</t>
  </si>
  <si>
    <t>Loans / Total Assets</t>
  </si>
  <si>
    <t>Financial Assets (net) / Total Assets</t>
  </si>
  <si>
    <t>TL Assets Share</t>
  </si>
  <si>
    <t>TL-denominated assets / total assets</t>
  </si>
  <si>
    <t>TL Deposits Share</t>
  </si>
  <si>
    <t>TL deposits / total deposits</t>
  </si>
  <si>
    <t>7) Credit Portfolio Quality</t>
  </si>
  <si>
    <t>NPL Ratio</t>
  </si>
  <si>
    <t>Stage 3 Coverage</t>
  </si>
  <si>
    <t>Snapshot of Results</t>
  </si>
  <si>
    <t>Coverage proxy</t>
  </si>
  <si>
    <t>Net loan cost (excl. FX)</t>
  </si>
  <si>
    <t>bps</t>
  </si>
  <si>
    <t>Equivalent to 1.07%</t>
  </si>
  <si>
    <t>Net cost of risk (excl. FX)</t>
  </si>
  <si>
    <t>Same disclosure as 'Net loan cost (excluding currency effect)': 1.07% ≈ 107 bps.</t>
  </si>
  <si>
    <t>Calculations</t>
  </si>
  <si>
    <t>Item</t>
  </si>
  <si>
    <t>2022</t>
  </si>
  <si>
    <t>2023</t>
  </si>
  <si>
    <t>Formula / note</t>
  </si>
  <si>
    <t>From TBB aktif-pasif</t>
  </si>
  <si>
    <t>YoY = (2023-2022)/2022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</si>
</sst>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0549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center" vertical="top" wrapText="1"/>
    </xf>
    <xf numFmtId="165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2" xfId="0" applyBorder="1"/>
    <xf numFmtId="0" fontId="0" fillId="0" borderId="3" xfId="0" applyBorder="1"/>
    <xf numFmtId="165" fontId="3" fillId="0" borderId="1" xfId="0" applyNumberFormat="1" applyFont="1" applyBorder="1" applyAlignment="1">
      <alignment horizontal="center" vertical="top" wrapText="1"/>
    </xf>
    <xf numFmtId="2" fontId="0" fillId="0" borderId="0" xfId="0" applyNumberFormat="1" applyAlignment="1">
      <alignment vertical="top"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abSelected="1" workbookViewId="0">
      <selection activeCell="H16" sqref="A16:H16"/>
    </sheetView>
  </sheetViews>
  <sheetFormatPr defaultRowHeight="14.4" x14ac:dyDescent="0.3"/>
  <cols>
    <col min="1" max="1" width="26" customWidth="1"/>
    <col min="2" max="2" width="34" customWidth="1"/>
    <col min="3" max="3" width="16" customWidth="1"/>
    <col min="4" max="4" width="10" customWidth="1"/>
    <col min="5" max="5" width="18" customWidth="1"/>
    <col min="6" max="6" width="16" customWidth="1"/>
    <col min="7" max="7" width="26" customWidth="1"/>
    <col min="8" max="8" width="42" customWidth="1"/>
  </cols>
  <sheetData>
    <row r="1" spans="1:8" ht="28.0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</row>
    <row r="2" spans="1:8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2" t="s">
        <v>9</v>
      </c>
      <c r="B3" s="2" t="s">
        <v>10</v>
      </c>
      <c r="C3" s="6">
        <v>1789174.1740000001</v>
      </c>
      <c r="D3" s="3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x14ac:dyDescent="0.3">
      <c r="A4" s="2" t="s">
        <v>9</v>
      </c>
      <c r="B4" s="2" t="s">
        <v>16</v>
      </c>
      <c r="C4" s="6">
        <v>870105.63699999999</v>
      </c>
      <c r="D4" s="3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  <row r="5" spans="1:8" x14ac:dyDescent="0.3">
      <c r="A5" s="2" t="s">
        <v>9</v>
      </c>
      <c r="B5" s="2" t="s">
        <v>17</v>
      </c>
      <c r="C5" s="6">
        <v>1218108.3259999999</v>
      </c>
      <c r="D5" s="3" t="s">
        <v>11</v>
      </c>
      <c r="E5" s="2" t="s">
        <v>12</v>
      </c>
      <c r="F5" s="2" t="s">
        <v>13</v>
      </c>
      <c r="G5" s="2" t="s">
        <v>14</v>
      </c>
      <c r="H5" s="2" t="s">
        <v>15</v>
      </c>
    </row>
    <row r="6" spans="1:8" x14ac:dyDescent="0.3">
      <c r="A6" s="2" t="s">
        <v>9</v>
      </c>
      <c r="B6" s="2" t="s">
        <v>18</v>
      </c>
      <c r="C6" s="7">
        <f>C27</f>
        <v>870105.63699999999</v>
      </c>
      <c r="D6" s="3" t="s">
        <v>19</v>
      </c>
      <c r="E6" s="2" t="s">
        <v>20</v>
      </c>
      <c r="F6" s="2" t="s">
        <v>13</v>
      </c>
      <c r="G6" s="2" t="s">
        <v>14</v>
      </c>
      <c r="H6" s="2" t="s">
        <v>21</v>
      </c>
    </row>
    <row r="7" spans="1:8" x14ac:dyDescent="0.3">
      <c r="A7" s="2" t="s">
        <v>22</v>
      </c>
      <c r="B7" s="2" t="s">
        <v>23</v>
      </c>
      <c r="C7" s="6">
        <v>66478.94</v>
      </c>
      <c r="D7" s="3" t="s">
        <v>11</v>
      </c>
      <c r="E7" s="2" t="s">
        <v>12</v>
      </c>
      <c r="F7" s="2" t="s">
        <v>13</v>
      </c>
      <c r="G7" s="2" t="s">
        <v>14</v>
      </c>
      <c r="H7" s="2" t="s">
        <v>24</v>
      </c>
    </row>
    <row r="8" spans="1:8" x14ac:dyDescent="0.3">
      <c r="A8" s="2" t="s">
        <v>22</v>
      </c>
      <c r="B8" s="2" t="s">
        <v>25</v>
      </c>
      <c r="C8" s="7">
        <v>0.36703818999999999</v>
      </c>
      <c r="D8" s="3" t="s">
        <v>19</v>
      </c>
      <c r="E8" s="2" t="s">
        <v>12</v>
      </c>
      <c r="F8" s="2" t="s">
        <v>13</v>
      </c>
      <c r="G8" s="2" t="s">
        <v>14</v>
      </c>
      <c r="H8" s="2" t="s">
        <v>26</v>
      </c>
    </row>
    <row r="9" spans="1:8" x14ac:dyDescent="0.3">
      <c r="A9" s="2" t="s">
        <v>22</v>
      </c>
      <c r="B9" s="2" t="s">
        <v>27</v>
      </c>
      <c r="C9" s="7">
        <v>4.4158280000000001E-2</v>
      </c>
      <c r="D9" s="3" t="s">
        <v>19</v>
      </c>
      <c r="E9" s="2" t="s">
        <v>12</v>
      </c>
      <c r="F9" s="2" t="s">
        <v>13</v>
      </c>
      <c r="G9" s="2" t="s">
        <v>14</v>
      </c>
      <c r="H9" s="2" t="s">
        <v>28</v>
      </c>
    </row>
    <row r="10" spans="1:8" x14ac:dyDescent="0.3">
      <c r="A10" s="2" t="s">
        <v>22</v>
      </c>
      <c r="B10" s="2" t="s">
        <v>29</v>
      </c>
      <c r="C10" s="7">
        <v>4.7E-2</v>
      </c>
      <c r="D10" s="3" t="s">
        <v>19</v>
      </c>
      <c r="E10" s="2" t="s">
        <v>30</v>
      </c>
      <c r="F10" s="2" t="s">
        <v>31</v>
      </c>
      <c r="G10" s="2" t="s">
        <v>32</v>
      </c>
      <c r="H10" s="2" t="s">
        <v>33</v>
      </c>
    </row>
    <row r="11" spans="1:8" x14ac:dyDescent="0.3">
      <c r="A11" s="2" t="s">
        <v>34</v>
      </c>
      <c r="B11" s="2" t="s">
        <v>35</v>
      </c>
      <c r="C11" s="7">
        <v>0.71430892000000001</v>
      </c>
      <c r="D11" s="3" t="s">
        <v>19</v>
      </c>
      <c r="E11" s="2" t="s">
        <v>12</v>
      </c>
      <c r="F11" s="2" t="s">
        <v>13</v>
      </c>
      <c r="G11" s="2" t="s">
        <v>14</v>
      </c>
      <c r="H11" s="2"/>
    </row>
    <row r="12" spans="1:8" x14ac:dyDescent="0.3">
      <c r="A12" s="2" t="s">
        <v>34</v>
      </c>
      <c r="B12" s="2" t="s">
        <v>36</v>
      </c>
      <c r="C12" s="7">
        <v>0.19132104</v>
      </c>
      <c r="D12" s="3" t="s">
        <v>19</v>
      </c>
      <c r="E12" s="2" t="s">
        <v>12</v>
      </c>
      <c r="F12" s="2" t="s">
        <v>13</v>
      </c>
      <c r="G12" s="2" t="s">
        <v>14</v>
      </c>
      <c r="H12" s="2"/>
    </row>
    <row r="13" spans="1:8" ht="28.8" x14ac:dyDescent="0.3">
      <c r="A13" s="2" t="s">
        <v>37</v>
      </c>
      <c r="B13" s="2" t="s">
        <v>38</v>
      </c>
      <c r="C13" s="3" t="s">
        <v>39</v>
      </c>
      <c r="D13" s="3" t="s">
        <v>19</v>
      </c>
      <c r="E13" s="2" t="s">
        <v>30</v>
      </c>
      <c r="F13" s="2" t="s">
        <v>40</v>
      </c>
      <c r="G13" s="2" t="s">
        <v>41</v>
      </c>
      <c r="H13" s="2" t="s">
        <v>42</v>
      </c>
    </row>
    <row r="14" spans="1:8" x14ac:dyDescent="0.3">
      <c r="A14" s="2" t="s">
        <v>43</v>
      </c>
      <c r="B14" s="2" t="s">
        <v>44</v>
      </c>
      <c r="C14" s="7">
        <v>0.21921941</v>
      </c>
      <c r="D14" s="3" t="s">
        <v>19</v>
      </c>
      <c r="E14" s="2" t="s">
        <v>12</v>
      </c>
      <c r="F14" s="2" t="s">
        <v>13</v>
      </c>
      <c r="G14" s="2" t="s">
        <v>14</v>
      </c>
      <c r="H14" s="2" t="s">
        <v>45</v>
      </c>
    </row>
    <row r="15" spans="1:8" ht="86.4" x14ac:dyDescent="0.3">
      <c r="A15" s="8" t="s">
        <v>43</v>
      </c>
      <c r="B15" s="8" t="s">
        <v>46</v>
      </c>
      <c r="C15" s="12">
        <v>18.7</v>
      </c>
      <c r="D15" s="8" t="s">
        <v>19</v>
      </c>
      <c r="E15" s="8" t="s">
        <v>47</v>
      </c>
      <c r="F15" s="8" t="s">
        <v>48</v>
      </c>
    </row>
    <row r="16" spans="1:8" x14ac:dyDescent="0.3">
      <c r="A16" s="2" t="s">
        <v>49</v>
      </c>
      <c r="B16" s="2" t="s">
        <v>50</v>
      </c>
      <c r="C16" s="7">
        <v>0.4863169</v>
      </c>
      <c r="D16" s="3" t="s">
        <v>19</v>
      </c>
      <c r="E16" s="2" t="s">
        <v>12</v>
      </c>
      <c r="F16" s="2" t="s">
        <v>13</v>
      </c>
      <c r="G16" s="2" t="s">
        <v>14</v>
      </c>
      <c r="H16" s="2"/>
    </row>
    <row r="17" spans="1:8" x14ac:dyDescent="0.3">
      <c r="A17" s="2" t="s">
        <v>49</v>
      </c>
      <c r="B17" s="2" t="s">
        <v>51</v>
      </c>
      <c r="C17" s="7">
        <v>0.38297207999999999</v>
      </c>
      <c r="D17" s="3" t="s">
        <v>19</v>
      </c>
      <c r="E17" s="2" t="s">
        <v>12</v>
      </c>
      <c r="F17" s="2" t="s">
        <v>13</v>
      </c>
      <c r="G17" s="2" t="s">
        <v>14</v>
      </c>
      <c r="H17" s="2"/>
    </row>
    <row r="18" spans="1:8" x14ac:dyDescent="0.3">
      <c r="A18" s="2" t="s">
        <v>49</v>
      </c>
      <c r="B18" s="2" t="s">
        <v>52</v>
      </c>
      <c r="C18" s="7">
        <v>0.65846549999999993</v>
      </c>
      <c r="D18" s="3" t="s">
        <v>19</v>
      </c>
      <c r="E18" s="2" t="s">
        <v>12</v>
      </c>
      <c r="F18" s="2" t="s">
        <v>13</v>
      </c>
      <c r="G18" s="2" t="s">
        <v>14</v>
      </c>
      <c r="H18" s="2" t="s">
        <v>53</v>
      </c>
    </row>
    <row r="19" spans="1:8" x14ac:dyDescent="0.3">
      <c r="A19" s="2" t="s">
        <v>49</v>
      </c>
      <c r="B19" s="2" t="s">
        <v>54</v>
      </c>
      <c r="C19" s="7">
        <v>0.63082952000000003</v>
      </c>
      <c r="D19" s="3" t="s">
        <v>19</v>
      </c>
      <c r="E19" s="2" t="s">
        <v>12</v>
      </c>
      <c r="F19" s="2" t="s">
        <v>13</v>
      </c>
      <c r="G19" s="2" t="s">
        <v>14</v>
      </c>
      <c r="H19" s="2" t="s">
        <v>55</v>
      </c>
    </row>
    <row r="20" spans="1:8" x14ac:dyDescent="0.3">
      <c r="A20" s="2" t="s">
        <v>56</v>
      </c>
      <c r="B20" s="2" t="s">
        <v>57</v>
      </c>
      <c r="C20" s="7">
        <v>2.1999999999999999E-2</v>
      </c>
      <c r="D20" s="3" t="s">
        <v>19</v>
      </c>
      <c r="E20" s="2" t="s">
        <v>30</v>
      </c>
      <c r="F20" s="2" t="s">
        <v>31</v>
      </c>
      <c r="G20" s="2" t="s">
        <v>32</v>
      </c>
      <c r="H20" s="2"/>
    </row>
    <row r="21" spans="1:8" x14ac:dyDescent="0.3">
      <c r="A21" s="2" t="s">
        <v>56</v>
      </c>
      <c r="B21" s="2" t="s">
        <v>58</v>
      </c>
      <c r="C21" s="7">
        <v>0.621</v>
      </c>
      <c r="D21" s="3" t="s">
        <v>19</v>
      </c>
      <c r="E21" s="2" t="s">
        <v>30</v>
      </c>
      <c r="F21" s="2" t="s">
        <v>31</v>
      </c>
      <c r="G21" s="2" t="s">
        <v>59</v>
      </c>
      <c r="H21" s="2" t="s">
        <v>60</v>
      </c>
    </row>
    <row r="22" spans="1:8" ht="19.95" customHeight="1" x14ac:dyDescent="0.3">
      <c r="A22" s="13" t="s">
        <v>56</v>
      </c>
      <c r="B22" s="13" t="s">
        <v>61</v>
      </c>
      <c r="C22" s="14">
        <v>107</v>
      </c>
      <c r="D22" s="15" t="s">
        <v>62</v>
      </c>
      <c r="E22" s="13" t="s">
        <v>30</v>
      </c>
      <c r="F22" s="13" t="s">
        <v>31</v>
      </c>
      <c r="G22" s="13" t="s">
        <v>32</v>
      </c>
      <c r="H22" s="13" t="s">
        <v>63</v>
      </c>
    </row>
    <row r="23" spans="1:8" ht="18" customHeight="1" x14ac:dyDescent="0.3">
      <c r="A23" s="8" t="s">
        <v>56</v>
      </c>
      <c r="B23" s="8" t="s">
        <v>64</v>
      </c>
      <c r="C23" s="8">
        <v>107</v>
      </c>
      <c r="D23" s="8" t="s">
        <v>62</v>
      </c>
      <c r="E23" s="8" t="s">
        <v>30</v>
      </c>
      <c r="F23" s="8" t="s">
        <v>31</v>
      </c>
      <c r="G23" s="8" t="s">
        <v>32</v>
      </c>
      <c r="H23" s="8" t="s">
        <v>65</v>
      </c>
    </row>
    <row r="25" spans="1:8" x14ac:dyDescent="0.3">
      <c r="A25" s="4" t="s">
        <v>66</v>
      </c>
      <c r="B25" s="9"/>
      <c r="C25" s="9"/>
      <c r="D25" s="9"/>
      <c r="E25" s="9"/>
      <c r="F25" s="9"/>
      <c r="G25" s="9"/>
      <c r="H25" s="10"/>
    </row>
    <row r="26" spans="1:8" x14ac:dyDescent="0.3">
      <c r="A26" s="5" t="s">
        <v>67</v>
      </c>
      <c r="B26" s="1" t="s">
        <v>68</v>
      </c>
      <c r="C26" s="1" t="s">
        <v>69</v>
      </c>
      <c r="D26" s="1" t="s">
        <v>4</v>
      </c>
      <c r="E26" s="5" t="s">
        <v>70</v>
      </c>
    </row>
    <row r="27" spans="1:8" x14ac:dyDescent="0.3">
      <c r="A27" s="2" t="s">
        <v>16</v>
      </c>
      <c r="B27" s="6">
        <v>560350.18799999997</v>
      </c>
      <c r="C27" s="6">
        <v>870105.63699999999</v>
      </c>
      <c r="D27" s="3" t="s">
        <v>11</v>
      </c>
      <c r="E27" s="2" t="s">
        <v>71</v>
      </c>
    </row>
    <row r="28" spans="1:8" x14ac:dyDescent="0.3">
      <c r="A28" s="2" t="s">
        <v>10</v>
      </c>
      <c r="B28" s="6">
        <v>1075186.4550000001</v>
      </c>
      <c r="C28" s="6">
        <v>1789174.1740000001</v>
      </c>
      <c r="D28" s="3" t="s">
        <v>11</v>
      </c>
      <c r="E28" s="2" t="s">
        <v>71</v>
      </c>
    </row>
    <row r="29" spans="1:8" x14ac:dyDescent="0.3">
      <c r="A29" s="2" t="s">
        <v>17</v>
      </c>
      <c r="B29" s="6">
        <v>679324.76199999999</v>
      </c>
      <c r="C29" s="6">
        <v>1218108.3259999999</v>
      </c>
      <c r="D29" s="3" t="s">
        <v>11</v>
      </c>
      <c r="E29" s="2" t="s">
        <v>71</v>
      </c>
    </row>
    <row r="30" spans="1:8" ht="28.8" x14ac:dyDescent="0.3">
      <c r="A30" s="2" t="s">
        <v>18</v>
      </c>
      <c r="B30" s="6">
        <f>B24</f>
        <v>0</v>
      </c>
      <c r="C30" s="11" t="e">
        <f>(C24-B24)/B24</f>
        <v>#DIV/0!</v>
      </c>
      <c r="D30" s="3" t="s">
        <v>19</v>
      </c>
      <c r="E30" s="2" t="s">
        <v>72</v>
      </c>
    </row>
  </sheetData>
  <mergeCells count="2">
    <mergeCell ref="A22:H2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FY2023_Final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Özbey</cp:lastModifiedBy>
  <dcterms:created xsi:type="dcterms:W3CDTF">2026-03-03T13:34:33Z</dcterms:created>
  <dcterms:modified xsi:type="dcterms:W3CDTF">2026-03-03T14:05:30Z</dcterms:modified>
</cp:coreProperties>
</file>